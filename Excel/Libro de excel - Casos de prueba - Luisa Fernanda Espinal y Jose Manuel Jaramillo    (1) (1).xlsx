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  <extLst>
    <ext uri="GoogleSheetsCustomDataVersion2">
      <go:sheetsCustomData xmlns:go="http://customooxmlschemas.google.com/" r:id="rId5" roundtripDataChecksum="T5X5zYyNOGkFvJi0rmaRWDVmhwv45GWqmzlNrcz4HUI="/>
    </ext>
  </extLst>
</workbook>
</file>

<file path=xl/sharedStrings.xml><?xml version="1.0" encoding="utf-8"?>
<sst xmlns="http://schemas.openxmlformats.org/spreadsheetml/2006/main" count="44" uniqueCount="26">
  <si>
    <t>ENTRADAS</t>
  </si>
  <si>
    <t>SALIDAS</t>
  </si>
  <si>
    <t>Casos Normales</t>
  </si>
  <si>
    <t>Valor a ahorrar</t>
  </si>
  <si>
    <t>Plazo (meses)</t>
  </si>
  <si>
    <t>Abono extra</t>
  </si>
  <si>
    <t>Tasa de interes mensual</t>
  </si>
  <si>
    <t>Mes de Abono Extra</t>
  </si>
  <si>
    <t>Abono mensual</t>
  </si>
  <si>
    <t>Caso Normal</t>
  </si>
  <si>
    <t>Caso Normal 2</t>
  </si>
  <si>
    <t>Caso Normal 3</t>
  </si>
  <si>
    <t>Casos Extraordinarios</t>
  </si>
  <si>
    <t>Ahorro cero</t>
  </si>
  <si>
    <t>-</t>
  </si>
  <si>
    <t>Abono unico</t>
  </si>
  <si>
    <t>Abono extra igual a ahorro</t>
  </si>
  <si>
    <t>Casos de Error</t>
  </si>
  <si>
    <t>Ahorro negativo</t>
  </si>
  <si>
    <t>Error: el valor a ahorar debe ser mayor a  0</t>
  </si>
  <si>
    <t>plazo cero</t>
  </si>
  <si>
    <t>Error: el plazo debe ser mayor a 0</t>
  </si>
  <si>
    <t>Abono superior</t>
  </si>
  <si>
    <t>Error: abono supera meta de ahorro</t>
  </si>
  <si>
    <t>Mes de extra superior</t>
  </si>
  <si>
    <t>Error: El Mes en el que se realiza el abono extra es superior al plazo del ahorro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</si>
</sst>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-* #,##0.00_-;\-* #,##0.00_-;_-* &quot;-&quot;??_-;_-@"/>
    <numFmt numFmtId="165" formatCode="&quot;$&quot;#,##0.00;[Red]\-&quot;$&quot;#,##0.00"/>
  </numFmts>
  <fonts count="9">
    <font>
      <sz val="10.0"/>
      <color rgb="FF000000"/>
      <name val="Arial"/>
      <scheme val="minor"/>
    </font>
    <font>
      <color rgb="FF00000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/>
    <font>
      <sz val="10.0"/>
      <color rgb="FF000000"/>
      <name val="Arial"/>
    </font>
    <font>
      <color theme="1"/>
      <name val="Arial"/>
      <scheme val="minor"/>
    </font>
    <font>
      <b/>
      <sz val="11.0"/>
      <color rgb="FF000000"/>
      <name val="Calibri"/>
    </font>
    <font>
      <b/>
      <sz val="10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5A6BD"/>
        <bgColor rgb="FFD5A6BD"/>
      </patternFill>
    </fill>
    <fill>
      <patternFill patternType="solid">
        <fgColor rgb="FFBDD6EE"/>
        <bgColor rgb="FFBDD6EE"/>
      </patternFill>
    </fill>
  </fills>
  <borders count="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1" fillId="2" fontId="3" numFmtId="0" xfId="0" applyAlignment="1" applyBorder="1" applyFill="1" applyFont="1">
      <alignment horizontal="center"/>
    </xf>
    <xf borderId="2" fillId="0" fontId="4" numFmtId="0" xfId="0" applyBorder="1" applyFont="1"/>
    <xf borderId="3" fillId="0" fontId="4" numFmtId="0" xfId="0" applyBorder="1" applyFont="1"/>
    <xf borderId="4" fillId="3" fontId="3" numFmtId="0" xfId="0" applyAlignment="1" applyBorder="1" applyFill="1" applyFont="1">
      <alignment horizontal="center"/>
    </xf>
    <xf borderId="0" fillId="0" fontId="1" numFmtId="0" xfId="0" applyFont="1"/>
    <xf borderId="4" fillId="0" fontId="3" numFmtId="0" xfId="0" applyAlignment="1" applyBorder="1" applyFont="1">
      <alignment horizontal="center"/>
    </xf>
    <xf borderId="4" fillId="0" fontId="3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center" readingOrder="0" shrinkToFit="0" wrapText="1"/>
    </xf>
    <xf borderId="3" fillId="0" fontId="3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horizontal="center"/>
    </xf>
    <xf borderId="4" fillId="0" fontId="2" numFmtId="164" xfId="0" applyAlignment="1" applyBorder="1" applyFont="1" applyNumberFormat="1">
      <alignment horizontal="center"/>
    </xf>
    <xf borderId="1" fillId="0" fontId="2" numFmtId="2" xfId="0" applyAlignment="1" applyBorder="1" applyFont="1" applyNumberFormat="1">
      <alignment horizontal="center"/>
    </xf>
    <xf borderId="1" fillId="0" fontId="5" numFmtId="10" xfId="0" applyAlignment="1" applyBorder="1" applyFont="1" applyNumberFormat="1">
      <alignment horizontal="center" readingOrder="0"/>
    </xf>
    <xf borderId="4" fillId="0" fontId="5" numFmtId="0" xfId="0" applyAlignment="1" applyBorder="1" applyFont="1">
      <alignment horizontal="center"/>
    </xf>
    <xf borderId="3" fillId="0" fontId="2" numFmtId="165" xfId="0" applyAlignment="1" applyBorder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2" xfId="0" applyAlignment="1" applyFont="1" applyNumberFormat="1">
      <alignment horizontal="center"/>
    </xf>
    <xf borderId="0" fillId="0" fontId="6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1" fillId="0" fontId="7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5" fillId="0" fontId="2" numFmtId="0" xfId="0" applyAlignment="1" applyBorder="1" applyFont="1">
      <alignment horizontal="center"/>
    </xf>
    <xf borderId="5" fillId="0" fontId="2" numFmtId="164" xfId="0" applyAlignment="1" applyBorder="1" applyFont="1" applyNumberFormat="1">
      <alignment horizontal="center"/>
    </xf>
    <xf borderId="6" fillId="0" fontId="2" numFmtId="2" xfId="0" applyAlignment="1" applyBorder="1" applyFont="1" applyNumberFormat="1">
      <alignment horizontal="center"/>
    </xf>
    <xf borderId="5" fillId="0" fontId="5" numFmtId="0" xfId="0" applyAlignment="1" applyBorder="1" applyFont="1">
      <alignment horizontal="center"/>
    </xf>
    <xf borderId="7" fillId="0" fontId="2" numFmtId="165" xfId="0" applyAlignment="1" applyBorder="1" applyFont="1" applyNumberFormat="1">
      <alignment horizontal="center"/>
    </xf>
    <xf borderId="4" fillId="0" fontId="2" numFmtId="165" xfId="0" applyAlignment="1" applyBorder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2.63"/>
    <col customWidth="1" min="2" max="2" width="15.25"/>
    <col customWidth="1" min="3" max="3" width="13.38"/>
    <col customWidth="1" min="4" max="4" width="12.88"/>
    <col customWidth="1" min="5" max="5" width="20.63"/>
    <col customWidth="1" min="6" max="6" width="20.0"/>
    <col customWidth="1" min="7" max="7" width="61.0"/>
  </cols>
  <sheetData>
    <row r="1" ht="15.75" customHeight="1">
      <c r="H1" s="1">
        <v>0.0075</v>
      </c>
    </row>
    <row r="2" ht="15.75" customHeight="1">
      <c r="A2" s="2"/>
      <c r="B2" s="3" t="s">
        <v>0</v>
      </c>
      <c r="C2" s="4"/>
      <c r="D2" s="4"/>
      <c r="E2" s="4"/>
      <c r="F2" s="5"/>
      <c r="G2" s="6" t="s">
        <v>1</v>
      </c>
      <c r="H2" s="7"/>
    </row>
    <row r="3" ht="15.75" customHeight="1">
      <c r="A3" s="8" t="s">
        <v>2</v>
      </c>
      <c r="B3" s="9" t="s">
        <v>3</v>
      </c>
      <c r="C3" s="9" t="s">
        <v>4</v>
      </c>
      <c r="D3" s="10" t="s">
        <v>5</v>
      </c>
      <c r="E3" s="11" t="s">
        <v>6</v>
      </c>
      <c r="F3" s="9" t="s">
        <v>7</v>
      </c>
      <c r="G3" s="12" t="s">
        <v>8</v>
      </c>
    </row>
    <row r="4" ht="15.75" customHeight="1">
      <c r="A4" s="13" t="s">
        <v>9</v>
      </c>
      <c r="B4" s="14">
        <v>1100000.0</v>
      </c>
      <c r="C4" s="13">
        <v>6.0</v>
      </c>
      <c r="D4" s="15">
        <v>0.0</v>
      </c>
      <c r="E4" s="16">
        <f t="shared" ref="E4:E6" si="1">$H$1</f>
        <v>0.0075</v>
      </c>
      <c r="F4" s="17">
        <v>0.0</v>
      </c>
      <c r="G4" s="18">
        <f t="shared" ref="G4:G6" si="2">IF(OR(B4&lt;=0, C4&lt;=0), "Error", PMT(E4, C4, 0, -(B4-D4), 0))</f>
        <v>179925.7982</v>
      </c>
    </row>
    <row r="5" ht="15.75" customHeight="1">
      <c r="A5" s="13" t="s">
        <v>10</v>
      </c>
      <c r="B5" s="14">
        <v>9000000.0</v>
      </c>
      <c r="C5" s="13">
        <v>12.0</v>
      </c>
      <c r="D5" s="15">
        <v>0.0</v>
      </c>
      <c r="E5" s="16">
        <f t="shared" si="1"/>
        <v>0.0075</v>
      </c>
      <c r="F5" s="17">
        <v>0.0</v>
      </c>
      <c r="G5" s="18">
        <f t="shared" si="2"/>
        <v>719563.2909</v>
      </c>
    </row>
    <row r="6" ht="15.75" customHeight="1">
      <c r="A6" s="13" t="s">
        <v>11</v>
      </c>
      <c r="B6" s="14">
        <v>1.7E8</v>
      </c>
      <c r="C6" s="13">
        <v>36.0</v>
      </c>
      <c r="D6" s="15">
        <v>0.0</v>
      </c>
      <c r="E6" s="16">
        <f t="shared" si="1"/>
        <v>0.0075</v>
      </c>
      <c r="F6" s="17">
        <v>0.0</v>
      </c>
      <c r="G6" s="18">
        <f t="shared" si="2"/>
        <v>4130954.552</v>
      </c>
    </row>
    <row r="7" ht="15.75" customHeight="1">
      <c r="A7" s="19"/>
      <c r="B7" s="19"/>
      <c r="C7" s="19"/>
      <c r="D7" s="20"/>
      <c r="E7" s="21"/>
      <c r="F7" s="21"/>
      <c r="G7" s="22"/>
    </row>
    <row r="8" ht="15.75" customHeight="1">
      <c r="A8" s="8" t="s">
        <v>12</v>
      </c>
      <c r="B8" s="9" t="s">
        <v>3</v>
      </c>
      <c r="C8" s="9" t="s">
        <v>4</v>
      </c>
      <c r="D8" s="10" t="s">
        <v>5</v>
      </c>
      <c r="E8" s="23" t="s">
        <v>6</v>
      </c>
      <c r="F8" s="24" t="s">
        <v>7</v>
      </c>
      <c r="G8" s="12" t="s">
        <v>8</v>
      </c>
    </row>
    <row r="9" ht="15.75" customHeight="1">
      <c r="A9" s="13" t="s">
        <v>13</v>
      </c>
      <c r="B9" s="14">
        <v>0.0</v>
      </c>
      <c r="C9" s="13">
        <v>1.0</v>
      </c>
      <c r="D9" s="15">
        <v>0.0</v>
      </c>
      <c r="E9" s="25" t="s">
        <v>14</v>
      </c>
      <c r="F9" s="17">
        <v>0.0</v>
      </c>
      <c r="G9" s="18">
        <f t="shared" ref="G9:G11" si="3">(B9-D9)/C9</f>
        <v>0</v>
      </c>
    </row>
    <row r="10" ht="15.75" customHeight="1">
      <c r="A10" s="13" t="s">
        <v>15</v>
      </c>
      <c r="B10" s="14">
        <v>90000.0</v>
      </c>
      <c r="C10" s="13">
        <v>1.0</v>
      </c>
      <c r="D10" s="15">
        <v>0.0</v>
      </c>
      <c r="E10" s="25" t="s">
        <v>14</v>
      </c>
      <c r="F10" s="17">
        <v>0.0</v>
      </c>
      <c r="G10" s="18">
        <f t="shared" si="3"/>
        <v>90000</v>
      </c>
    </row>
    <row r="11" ht="15.75" customHeight="1">
      <c r="A11" s="13" t="s">
        <v>16</v>
      </c>
      <c r="B11" s="14">
        <v>400000.0</v>
      </c>
      <c r="C11" s="13">
        <v>2.0</v>
      </c>
      <c r="D11" s="15">
        <v>400000.0</v>
      </c>
      <c r="E11" s="25" t="s">
        <v>14</v>
      </c>
      <c r="F11" s="17">
        <v>1.0</v>
      </c>
      <c r="G11" s="18">
        <f t="shared" si="3"/>
        <v>0</v>
      </c>
    </row>
    <row r="12" ht="15.75" customHeight="1">
      <c r="A12" s="19"/>
      <c r="B12" s="19"/>
      <c r="C12" s="19"/>
      <c r="D12" s="20"/>
      <c r="E12" s="21"/>
      <c r="F12" s="21"/>
      <c r="G12" s="22"/>
    </row>
    <row r="13" ht="15.75" customHeight="1">
      <c r="A13" s="8" t="s">
        <v>17</v>
      </c>
      <c r="B13" s="9" t="s">
        <v>3</v>
      </c>
      <c r="C13" s="9" t="s">
        <v>4</v>
      </c>
      <c r="D13" s="10" t="s">
        <v>5</v>
      </c>
      <c r="E13" s="23" t="s">
        <v>6</v>
      </c>
      <c r="F13" s="24" t="s">
        <v>7</v>
      </c>
      <c r="G13" s="12" t="s">
        <v>8</v>
      </c>
    </row>
    <row r="14" ht="15.75" customHeight="1">
      <c r="A14" s="13" t="s">
        <v>18</v>
      </c>
      <c r="B14" s="14">
        <v>-1300000.0</v>
      </c>
      <c r="C14" s="13">
        <v>15.0</v>
      </c>
      <c r="D14" s="15">
        <v>0.0</v>
      </c>
      <c r="E14" s="25" t="s">
        <v>14</v>
      </c>
      <c r="F14" s="17">
        <v>0.0</v>
      </c>
      <c r="G14" s="18" t="s">
        <v>19</v>
      </c>
    </row>
    <row r="15" ht="15.75" customHeight="1">
      <c r="A15" s="13" t="s">
        <v>20</v>
      </c>
      <c r="B15" s="14">
        <v>50000.0</v>
      </c>
      <c r="C15" s="13">
        <v>0.0</v>
      </c>
      <c r="D15" s="15">
        <v>0.0</v>
      </c>
      <c r="E15" s="25" t="s">
        <v>14</v>
      </c>
      <c r="F15" s="17">
        <v>0.0</v>
      </c>
      <c r="G15" s="18" t="s">
        <v>21</v>
      </c>
    </row>
    <row r="16" ht="15.75" customHeight="1">
      <c r="A16" s="26" t="s">
        <v>22</v>
      </c>
      <c r="B16" s="27">
        <v>400000.0</v>
      </c>
      <c r="C16" s="26">
        <v>2.0</v>
      </c>
      <c r="D16" s="28">
        <v>800000.0</v>
      </c>
      <c r="E16" s="25" t="s">
        <v>14</v>
      </c>
      <c r="F16" s="29">
        <v>0.0</v>
      </c>
      <c r="G16" s="30" t="s">
        <v>23</v>
      </c>
    </row>
    <row r="17" ht="15.75" customHeight="1">
      <c r="A17" s="13" t="s">
        <v>24</v>
      </c>
      <c r="B17" s="17">
        <v>200000.0</v>
      </c>
      <c r="C17" s="17">
        <v>3.0</v>
      </c>
      <c r="D17" s="17">
        <v>20000.0</v>
      </c>
      <c r="E17" s="25" t="s">
        <v>14</v>
      </c>
      <c r="F17" s="17">
        <v>4.0</v>
      </c>
      <c r="G17" s="31" t="s">
        <v>25</v>
      </c>
    </row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2:F2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